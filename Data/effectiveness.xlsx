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inoyuuki\Desktop\ICSME2026\Data\"/>
    </mc:Choice>
  </mc:AlternateContent>
  <xr:revisionPtr revIDLastSave="0" documentId="13_ncr:1_{349C7040-10F1-4779-ADAF-1857E04F77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8" i="1"/>
  <c r="N10" i="1"/>
  <c r="N11" i="1"/>
  <c r="N12" i="1"/>
  <c r="N13" i="1"/>
  <c r="N2" i="1"/>
  <c r="M3" i="1"/>
  <c r="M4" i="1"/>
  <c r="M5" i="1"/>
  <c r="O5" i="1" s="1"/>
  <c r="M8" i="1"/>
  <c r="M10" i="1"/>
  <c r="M11" i="1"/>
  <c r="M12" i="1"/>
  <c r="M13" i="1"/>
  <c r="M2" i="1"/>
  <c r="I2" i="1"/>
  <c r="H3" i="1"/>
  <c r="H4" i="1"/>
  <c r="H5" i="1"/>
  <c r="H6" i="1"/>
  <c r="H7" i="1"/>
  <c r="H8" i="1"/>
  <c r="H9" i="1"/>
  <c r="H10" i="1"/>
  <c r="H11" i="1"/>
  <c r="H13" i="1"/>
  <c r="H14" i="1"/>
  <c r="H2" i="1"/>
  <c r="G3" i="1"/>
  <c r="G4" i="1"/>
  <c r="I4" i="1" s="1"/>
  <c r="G5" i="1"/>
  <c r="G6" i="1"/>
  <c r="G7" i="1"/>
  <c r="I7" i="1" s="1"/>
  <c r="G8" i="1"/>
  <c r="G9" i="1"/>
  <c r="I9" i="1" s="1"/>
  <c r="G10" i="1"/>
  <c r="G11" i="1"/>
  <c r="G13" i="1"/>
  <c r="G14" i="1"/>
  <c r="G2" i="1"/>
  <c r="O13" i="1" l="1"/>
  <c r="O12" i="1"/>
  <c r="O11" i="1"/>
  <c r="I13" i="1"/>
  <c r="I14" i="1"/>
  <c r="I11" i="1"/>
  <c r="I10" i="1"/>
  <c r="I8" i="1"/>
  <c r="I6" i="1"/>
  <c r="I5" i="1"/>
  <c r="O4" i="1"/>
  <c r="O3" i="1"/>
  <c r="I3" i="1"/>
  <c r="O10" i="1"/>
  <c r="O8" i="1"/>
  <c r="O2" i="1"/>
</calcChain>
</file>

<file path=xl/sharedStrings.xml><?xml version="1.0" encoding="utf-8"?>
<sst xmlns="http://schemas.openxmlformats.org/spreadsheetml/2006/main" count="74" uniqueCount="45">
  <si>
    <t>repository</t>
  </si>
  <si>
    <t>Test name</t>
  </si>
  <si>
    <t>Autocosts</t>
  </si>
  <si>
    <t>validateFrontend</t>
  </si>
  <si>
    <t>Glados</t>
  </si>
  <si>
    <t>001-events</t>
  </si>
  <si>
    <t>002-topics</t>
  </si>
  <si>
    <t>Timeoff</t>
  </si>
  <si>
    <t>Book the very last day of year to be a holiday | Register new company</t>
    <phoneticPr fontId="1"/>
  </si>
  <si>
    <t>CRUD for bank holidays | Add new bank holiday to be in the end of the list</t>
    <phoneticPr fontId="1"/>
  </si>
  <si>
    <t>Auto approvals | Login as admin user A</t>
    <phoneticPr fontId="1"/>
  </si>
  <si>
    <t>Auto approvals | Revoke request</t>
    <phoneticPr fontId="1"/>
  </si>
  <si>
    <t>Basic audit for user changes | Enable API integration and capture the token value</t>
    <phoneticPr fontId="1"/>
  </si>
  <si>
    <t>Basic user specific schedule | Ensure that user A started at the begining of current year</t>
    <phoneticPr fontId="1"/>
  </si>
  <si>
    <t>Basic user specific schedule | Logout from user B</t>
    <phoneticPr fontId="1"/>
  </si>
  <si>
    <t>Check that values for new columns are shown only for employess currently login user can supervise | Login as user C</t>
    <phoneticPr fontId="1"/>
  </si>
  <si>
    <t>Check the client side logic to facilitate filling new absence form | Update FROM to be in past and make sure TO is stays unchanged</t>
    <phoneticPr fontId="1"/>
  </si>
  <si>
    <t>Leave type limits for next year: 2026 | Logout from regular user session</t>
    <phoneticPr fontId="1"/>
  </si>
  <si>
    <t>Click TP</t>
    <phoneticPr fontId="1"/>
  </si>
  <si>
    <t>Click FP</t>
    <phoneticPr fontId="1"/>
  </si>
  <si>
    <t>Click FN</t>
    <phoneticPr fontId="1"/>
  </si>
  <si>
    <t>Keystroke TP</t>
    <phoneticPr fontId="1"/>
  </si>
  <si>
    <t>Keystroke FP</t>
    <phoneticPr fontId="1"/>
  </si>
  <si>
    <t>Keystroke FN</t>
    <phoneticPr fontId="1"/>
  </si>
  <si>
    <t>Click Precision</t>
    <phoneticPr fontId="1"/>
  </si>
  <si>
    <t>Click Recall</t>
    <phoneticPr fontId="1"/>
  </si>
  <si>
    <t>Click F1</t>
    <phoneticPr fontId="1"/>
  </si>
  <si>
    <t>Keystroke Precision</t>
    <phoneticPr fontId="1"/>
  </si>
  <si>
    <t>Keystroke Recall</t>
    <phoneticPr fontId="1"/>
  </si>
  <si>
    <t>Keystroke F1</t>
    <phoneticPr fontId="1"/>
  </si>
  <si>
    <t>NaN</t>
    <phoneticPr fontId="1"/>
  </si>
  <si>
    <t>Test Case</t>
    <phoneticPr fontId="1"/>
  </si>
  <si>
    <t>UI Component Integrity: Frontend Layout Verification</t>
    <phoneticPr fontId="1"/>
  </si>
  <si>
    <t>Privileged Access: Admin Authentication for Approval Workflow</t>
    <phoneticPr fontId="1"/>
  </si>
  <si>
    <t>Workflow Execution: State-based Request Revocation</t>
    <phoneticPr fontId="1"/>
  </si>
  <si>
    <t>Integration Setup: API Token Generation and Capture</t>
    <phoneticPr fontId="1"/>
  </si>
  <si>
    <t>Onboarding Workflow: Context-aware Company Registration</t>
    <phoneticPr fontId="1"/>
  </si>
  <si>
    <t>Data Privacy: Role-Based Access Control Column Filtering</t>
    <phoneticPr fontId="1"/>
  </si>
  <si>
    <t>Client-Side Validation: Asymmetric Date Range Logic</t>
    <phoneticPr fontId="1"/>
  </si>
  <si>
    <t>Entity Persistence: Sequential CRUD for Holiday Management</t>
    <phoneticPr fontId="1"/>
  </si>
  <si>
    <t>Resource Constraint: Post-Audit Session Cleanup</t>
    <phoneticPr fontId="1"/>
  </si>
  <si>
    <t>Temporal Data Entry: Historical Start Date Configuration</t>
    <phoneticPr fontId="1"/>
  </si>
  <si>
    <t>Session Management: Multi-user Session Termination</t>
    <phoneticPr fontId="1"/>
  </si>
  <si>
    <t>Event Management: Multi-modal Lifecycle and Dynamic Reordering</t>
    <phoneticPr fontId="1"/>
  </si>
  <si>
    <t>Relational Navigation: Hierarchical Topics and Event Linking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</si>
</sst>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5"/>
      <color rgb="FFFFFFFF"/>
      <name val="游ゴシック"/>
      <family val="3"/>
      <charset val="128"/>
    </font>
    <font>
      <sz val="15"/>
      <color rgb="FF000000"/>
      <name val="游ゴシック"/>
      <family val="3"/>
      <charset val="128"/>
    </font>
    <font>
      <sz val="16"/>
      <color rgb="FF000000"/>
      <name val="游ゴシック"/>
      <family val="3"/>
      <charset val="128"/>
    </font>
    <font>
      <sz val="15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3" fillId="4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5" borderId="3" xfId="0" applyFont="1" applyFill="1" applyBorder="1" applyAlignment="1">
      <alignment horizontal="left" vertical="center" wrapText="1" readingOrder="1"/>
    </xf>
    <xf numFmtId="0" fontId="3" fillId="5" borderId="2" xfId="0" applyFont="1" applyFill="1" applyBorder="1" applyAlignment="1">
      <alignment horizontal="left" vertical="center" wrapText="1" readingOrder="1"/>
    </xf>
    <xf numFmtId="0" fontId="5" fillId="5" borderId="0" xfId="0" applyFont="1" applyFill="1"/>
    <xf numFmtId="0" fontId="3" fillId="4" borderId="2" xfId="0" applyFont="1" applyFill="1" applyBorder="1" applyAlignment="1">
      <alignment horizontal="left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7EAED"/>
      <color rgb="FFCCD2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45" workbookViewId="0">
      <selection activeCell="B11" sqref="B11"/>
    </sheetView>
  </sheetViews>
  <sheetFormatPr defaultRowHeight="18"/>
  <cols>
    <col min="1" max="1" width="19.25" customWidth="1"/>
    <col min="2" max="2" width="100.08203125" customWidth="1"/>
    <col min="3" max="3" width="161.83203125" customWidth="1"/>
    <col min="4" max="4" width="13.4140625" customWidth="1"/>
    <col min="5" max="5" width="12.6640625" customWidth="1"/>
    <col min="6" max="6" width="13" customWidth="1"/>
    <col min="7" max="8" width="20.4140625" customWidth="1"/>
    <col min="9" max="9" width="31" customWidth="1"/>
    <col min="10" max="10" width="20.1640625" customWidth="1"/>
    <col min="11" max="14" width="31" customWidth="1"/>
    <col min="15" max="15" width="34.08203125" customWidth="1"/>
  </cols>
  <sheetData>
    <row r="1" spans="1:15" ht="21.5" customHeight="1" thickBot="1">
      <c r="A1" s="1" t="s">
        <v>0</v>
      </c>
      <c r="B1" s="1" t="s">
        <v>31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24</v>
      </c>
      <c r="H1" s="1" t="s">
        <v>25</v>
      </c>
      <c r="I1" s="1" t="s">
        <v>26</v>
      </c>
      <c r="J1" s="1" t="s">
        <v>21</v>
      </c>
      <c r="K1" s="1" t="s">
        <v>22</v>
      </c>
      <c r="L1" s="1" t="s">
        <v>23</v>
      </c>
      <c r="M1" s="1" t="s">
        <v>27</v>
      </c>
      <c r="N1" s="1" t="s">
        <v>28</v>
      </c>
      <c r="O1" s="1" t="s">
        <v>29</v>
      </c>
    </row>
    <row r="2" spans="1:15" ht="22.5" customHeight="1" thickTop="1" thickBot="1">
      <c r="A2" s="12" t="s">
        <v>2</v>
      </c>
      <c r="B2" s="2" t="s">
        <v>32</v>
      </c>
      <c r="C2" s="2" t="s">
        <v>3</v>
      </c>
      <c r="D2" s="2">
        <v>23</v>
      </c>
      <c r="E2" s="2">
        <v>0</v>
      </c>
      <c r="F2" s="2">
        <v>0</v>
      </c>
      <c r="G2" s="2">
        <f>D2/(D2+E2)</f>
        <v>1</v>
      </c>
      <c r="H2" s="2">
        <f>D2/(D2+F2)</f>
        <v>1</v>
      </c>
      <c r="I2" s="2">
        <f t="shared" ref="I2:I14" si="0">2*(G2*H2)/(G2+H2)</f>
        <v>1</v>
      </c>
      <c r="J2" s="2">
        <v>67</v>
      </c>
      <c r="K2" s="2">
        <v>0</v>
      </c>
      <c r="L2" s="2">
        <v>0</v>
      </c>
      <c r="M2" s="2">
        <f>J2/(J2+K2)</f>
        <v>1</v>
      </c>
      <c r="N2" s="2">
        <f>J2/(J2+L2)</f>
        <v>1</v>
      </c>
      <c r="O2" s="2">
        <f>2*(M2*N2)/(M2+N2)</f>
        <v>1</v>
      </c>
    </row>
    <row r="3" spans="1:15" ht="24.5" customHeight="1" thickTop="1" thickBot="1">
      <c r="A3" s="6" t="s">
        <v>4</v>
      </c>
      <c r="B3" s="3" t="s">
        <v>43</v>
      </c>
      <c r="C3" s="3" t="s">
        <v>5</v>
      </c>
      <c r="D3" s="3">
        <v>7</v>
      </c>
      <c r="E3" s="3">
        <v>0</v>
      </c>
      <c r="F3" s="3">
        <v>1</v>
      </c>
      <c r="G3" s="10">
        <f t="shared" ref="G3:G14" si="1">D3/(D3+E3)</f>
        <v>1</v>
      </c>
      <c r="H3" s="10">
        <f t="shared" ref="H3:H14" si="2">D3/(D3+F3)</f>
        <v>0.875</v>
      </c>
      <c r="I3" s="10">
        <f t="shared" si="0"/>
        <v>0.93333333333333335</v>
      </c>
      <c r="J3" s="9">
        <v>401</v>
      </c>
      <c r="K3" s="9">
        <v>0</v>
      </c>
      <c r="L3" s="9">
        <v>9</v>
      </c>
      <c r="M3" s="10">
        <f t="shared" ref="M3:M14" si="3">J3/(J3+K3)</f>
        <v>1</v>
      </c>
      <c r="N3" s="10">
        <f t="shared" ref="N3:N14" si="4">J3/(J3+L3)</f>
        <v>0.97804878048780486</v>
      </c>
      <c r="O3" s="10">
        <f t="shared" ref="O3:O14" si="5">2*(M3*N3)/(M3+N3)</f>
        <v>0.98890258939580766</v>
      </c>
    </row>
    <row r="4" spans="1:15" ht="24" customHeight="1" thickTop="1" thickBot="1">
      <c r="A4" s="7"/>
      <c r="B4" s="4" t="s">
        <v>44</v>
      </c>
      <c r="C4" s="4" t="s">
        <v>6</v>
      </c>
      <c r="D4" s="4">
        <v>18</v>
      </c>
      <c r="E4" s="4">
        <v>0</v>
      </c>
      <c r="F4" s="4">
        <v>3</v>
      </c>
      <c r="G4" s="2">
        <f t="shared" si="1"/>
        <v>1</v>
      </c>
      <c r="H4" s="2">
        <f t="shared" si="2"/>
        <v>0.8571428571428571</v>
      </c>
      <c r="I4" s="2">
        <f t="shared" si="0"/>
        <v>0.92307692307692302</v>
      </c>
      <c r="J4" s="4">
        <v>462</v>
      </c>
      <c r="K4" s="4">
        <v>0</v>
      </c>
      <c r="L4" s="4">
        <v>17</v>
      </c>
      <c r="M4" s="2">
        <f t="shared" si="3"/>
        <v>1</v>
      </c>
      <c r="N4" s="2">
        <f t="shared" si="4"/>
        <v>0.964509394572025</v>
      </c>
      <c r="O4" s="2">
        <f t="shared" si="5"/>
        <v>0.98193411264612118</v>
      </c>
    </row>
    <row r="5" spans="1:15" ht="25" customHeight="1" thickTop="1" thickBot="1">
      <c r="A5" s="6" t="s">
        <v>7</v>
      </c>
      <c r="B5" s="3" t="s">
        <v>33</v>
      </c>
      <c r="C5" s="3" t="s">
        <v>10</v>
      </c>
      <c r="D5" s="3">
        <v>2</v>
      </c>
      <c r="E5" s="3">
        <v>0</v>
      </c>
      <c r="F5" s="3">
        <v>0</v>
      </c>
      <c r="G5" s="10">
        <f t="shared" si="1"/>
        <v>1</v>
      </c>
      <c r="H5" s="10">
        <f t="shared" si="2"/>
        <v>1</v>
      </c>
      <c r="I5" s="10">
        <f t="shared" si="0"/>
        <v>1</v>
      </c>
      <c r="J5" s="9">
        <v>28</v>
      </c>
      <c r="K5" s="9">
        <v>0</v>
      </c>
      <c r="L5" s="9">
        <v>0</v>
      </c>
      <c r="M5" s="10">
        <f t="shared" si="3"/>
        <v>1</v>
      </c>
      <c r="N5" s="10">
        <f t="shared" si="4"/>
        <v>1</v>
      </c>
      <c r="O5" s="10">
        <f t="shared" si="5"/>
        <v>1</v>
      </c>
    </row>
    <row r="6" spans="1:15" ht="30.5" customHeight="1" thickTop="1" thickBot="1">
      <c r="A6" s="8"/>
      <c r="B6" s="4" t="s">
        <v>34</v>
      </c>
      <c r="C6" s="4" t="s">
        <v>11</v>
      </c>
      <c r="D6" s="4">
        <v>1</v>
      </c>
      <c r="E6" s="4">
        <v>0</v>
      </c>
      <c r="F6" s="4">
        <v>0</v>
      </c>
      <c r="G6" s="2">
        <f t="shared" si="1"/>
        <v>1</v>
      </c>
      <c r="H6" s="2">
        <f t="shared" si="2"/>
        <v>1</v>
      </c>
      <c r="I6" s="2">
        <f t="shared" si="0"/>
        <v>1</v>
      </c>
      <c r="J6" s="4" t="s">
        <v>30</v>
      </c>
      <c r="K6" s="4" t="s">
        <v>30</v>
      </c>
      <c r="L6" s="4" t="s">
        <v>30</v>
      </c>
      <c r="M6" s="4" t="s">
        <v>30</v>
      </c>
      <c r="N6" s="4" t="s">
        <v>30</v>
      </c>
      <c r="O6" s="4" t="s">
        <v>30</v>
      </c>
    </row>
    <row r="7" spans="1:15" ht="24" customHeight="1" thickTop="1" thickBot="1">
      <c r="A7" s="8"/>
      <c r="B7" s="3" t="s">
        <v>35</v>
      </c>
      <c r="C7" s="3" t="s">
        <v>12</v>
      </c>
      <c r="D7" s="3">
        <v>2</v>
      </c>
      <c r="E7" s="3">
        <v>0</v>
      </c>
      <c r="F7" s="3">
        <v>0</v>
      </c>
      <c r="G7" s="10">
        <f t="shared" si="1"/>
        <v>1</v>
      </c>
      <c r="H7" s="10">
        <f t="shared" si="2"/>
        <v>1</v>
      </c>
      <c r="I7" s="10">
        <f t="shared" si="0"/>
        <v>1</v>
      </c>
      <c r="J7" s="9" t="s">
        <v>30</v>
      </c>
      <c r="K7" s="9" t="s">
        <v>30</v>
      </c>
      <c r="L7" s="9" t="s">
        <v>30</v>
      </c>
      <c r="M7" s="9" t="s">
        <v>30</v>
      </c>
      <c r="N7" s="9" t="s">
        <v>30</v>
      </c>
      <c r="O7" s="9" t="s">
        <v>30</v>
      </c>
    </row>
    <row r="8" spans="1:15" ht="24.5" customHeight="1" thickTop="1" thickBot="1">
      <c r="A8" s="8"/>
      <c r="B8" s="4" t="s">
        <v>41</v>
      </c>
      <c r="C8" s="4" t="s">
        <v>13</v>
      </c>
      <c r="D8" s="4">
        <v>1</v>
      </c>
      <c r="E8" s="4">
        <v>0</v>
      </c>
      <c r="F8" s="4">
        <v>0</v>
      </c>
      <c r="G8" s="2">
        <f t="shared" si="1"/>
        <v>1</v>
      </c>
      <c r="H8" s="2">
        <f t="shared" si="2"/>
        <v>1</v>
      </c>
      <c r="I8" s="2">
        <f t="shared" si="0"/>
        <v>1</v>
      </c>
      <c r="J8" s="4">
        <v>10</v>
      </c>
      <c r="K8" s="4">
        <v>0</v>
      </c>
      <c r="L8" s="4">
        <v>0</v>
      </c>
      <c r="M8" s="2">
        <f t="shared" si="3"/>
        <v>1</v>
      </c>
      <c r="N8" s="2">
        <f t="shared" si="4"/>
        <v>1</v>
      </c>
      <c r="O8" s="2">
        <f t="shared" si="5"/>
        <v>1</v>
      </c>
    </row>
    <row r="9" spans="1:15" ht="29" customHeight="1" thickTop="1" thickBot="1">
      <c r="A9" s="8"/>
      <c r="B9" s="11" t="s">
        <v>42</v>
      </c>
      <c r="C9" s="3" t="s">
        <v>14</v>
      </c>
      <c r="D9" s="3">
        <v>2</v>
      </c>
      <c r="E9" s="3">
        <v>0</v>
      </c>
      <c r="F9" s="3">
        <v>0</v>
      </c>
      <c r="G9" s="10">
        <f t="shared" si="1"/>
        <v>1</v>
      </c>
      <c r="H9" s="10">
        <f t="shared" si="2"/>
        <v>1</v>
      </c>
      <c r="I9" s="10">
        <f t="shared" si="0"/>
        <v>1</v>
      </c>
      <c r="J9" s="9" t="s">
        <v>30</v>
      </c>
      <c r="K9" s="9" t="s">
        <v>30</v>
      </c>
      <c r="L9" s="9" t="s">
        <v>30</v>
      </c>
      <c r="M9" s="9" t="s">
        <v>30</v>
      </c>
      <c r="N9" s="9" t="s">
        <v>30</v>
      </c>
      <c r="O9" s="9" t="s">
        <v>30</v>
      </c>
    </row>
    <row r="10" spans="1:15" ht="25.5" customHeight="1" thickTop="1" thickBot="1">
      <c r="A10" s="8"/>
      <c r="B10" s="4" t="s">
        <v>36</v>
      </c>
      <c r="C10" s="4" t="s">
        <v>8</v>
      </c>
      <c r="D10" s="4">
        <v>4</v>
      </c>
      <c r="E10" s="4">
        <v>0</v>
      </c>
      <c r="F10" s="4">
        <v>0</v>
      </c>
      <c r="G10" s="2">
        <f t="shared" si="1"/>
        <v>1</v>
      </c>
      <c r="H10" s="2">
        <f t="shared" si="2"/>
        <v>1</v>
      </c>
      <c r="I10" s="2">
        <f t="shared" si="0"/>
        <v>1</v>
      </c>
      <c r="J10" s="4">
        <v>93</v>
      </c>
      <c r="K10" s="4">
        <v>0</v>
      </c>
      <c r="L10" s="4">
        <v>0</v>
      </c>
      <c r="M10" s="2">
        <f t="shared" si="3"/>
        <v>1</v>
      </c>
      <c r="N10" s="2">
        <f t="shared" si="4"/>
        <v>1</v>
      </c>
      <c r="O10" s="2">
        <f t="shared" si="5"/>
        <v>1</v>
      </c>
    </row>
    <row r="11" spans="1:15" ht="26" customHeight="1" thickTop="1" thickBot="1">
      <c r="A11" s="8"/>
      <c r="B11" s="9" t="s">
        <v>37</v>
      </c>
      <c r="C11" s="3" t="s">
        <v>15</v>
      </c>
      <c r="D11" s="3">
        <v>2</v>
      </c>
      <c r="E11" s="3">
        <v>0</v>
      </c>
      <c r="F11" s="3">
        <v>0</v>
      </c>
      <c r="G11" s="10">
        <f t="shared" si="1"/>
        <v>1</v>
      </c>
      <c r="H11" s="10">
        <f t="shared" si="2"/>
        <v>1</v>
      </c>
      <c r="I11" s="10">
        <f t="shared" si="0"/>
        <v>1</v>
      </c>
      <c r="J11" s="9">
        <v>28</v>
      </c>
      <c r="K11" s="9">
        <v>0</v>
      </c>
      <c r="L11" s="9">
        <v>0</v>
      </c>
      <c r="M11" s="10">
        <f t="shared" si="3"/>
        <v>1</v>
      </c>
      <c r="N11" s="10">
        <f t="shared" si="4"/>
        <v>1</v>
      </c>
      <c r="O11" s="10">
        <f t="shared" si="5"/>
        <v>1</v>
      </c>
    </row>
    <row r="12" spans="1:15" ht="27.5" customHeight="1" thickTop="1" thickBot="1">
      <c r="A12" s="8"/>
      <c r="B12" s="4" t="s">
        <v>38</v>
      </c>
      <c r="C12" s="4" t="s">
        <v>16</v>
      </c>
      <c r="D12" s="4" t="s">
        <v>30</v>
      </c>
      <c r="E12" s="4" t="s">
        <v>30</v>
      </c>
      <c r="F12" s="4" t="s">
        <v>30</v>
      </c>
      <c r="G12" s="4" t="s">
        <v>30</v>
      </c>
      <c r="H12" s="4" t="s">
        <v>30</v>
      </c>
      <c r="I12" s="4" t="s">
        <v>30</v>
      </c>
      <c r="J12" s="5">
        <v>10</v>
      </c>
      <c r="K12" s="5">
        <v>0</v>
      </c>
      <c r="L12" s="5">
        <v>0</v>
      </c>
      <c r="M12" s="2">
        <f t="shared" si="3"/>
        <v>1</v>
      </c>
      <c r="N12" s="2">
        <f t="shared" si="4"/>
        <v>1</v>
      </c>
      <c r="O12" s="2">
        <f t="shared" si="5"/>
        <v>1</v>
      </c>
    </row>
    <row r="13" spans="1:15" ht="23.5" customHeight="1" thickTop="1" thickBot="1">
      <c r="A13" s="8"/>
      <c r="B13" s="9" t="s">
        <v>39</v>
      </c>
      <c r="C13" s="3" t="s">
        <v>9</v>
      </c>
      <c r="D13" s="3">
        <v>2</v>
      </c>
      <c r="E13" s="3">
        <v>0</v>
      </c>
      <c r="F13" s="3">
        <v>0</v>
      </c>
      <c r="G13" s="10">
        <f t="shared" si="1"/>
        <v>1</v>
      </c>
      <c r="H13" s="10">
        <f t="shared" si="2"/>
        <v>1</v>
      </c>
      <c r="I13" s="10">
        <f t="shared" si="0"/>
        <v>1</v>
      </c>
      <c r="J13" s="9">
        <v>14</v>
      </c>
      <c r="K13" s="9">
        <v>0</v>
      </c>
      <c r="L13" s="9">
        <v>0</v>
      </c>
      <c r="M13" s="10">
        <f t="shared" si="3"/>
        <v>1</v>
      </c>
      <c r="N13" s="10">
        <f t="shared" si="4"/>
        <v>1</v>
      </c>
      <c r="O13" s="10">
        <f t="shared" si="5"/>
        <v>1</v>
      </c>
    </row>
    <row r="14" spans="1:15" ht="32.5" customHeight="1" thickTop="1" thickBot="1">
      <c r="A14" s="7"/>
      <c r="B14" s="4" t="s">
        <v>40</v>
      </c>
      <c r="C14" s="4" t="s">
        <v>17</v>
      </c>
      <c r="D14" s="4">
        <v>2</v>
      </c>
      <c r="E14" s="4">
        <v>0</v>
      </c>
      <c r="F14" s="4">
        <v>0</v>
      </c>
      <c r="G14" s="2">
        <f t="shared" si="1"/>
        <v>1</v>
      </c>
      <c r="H14" s="2">
        <f t="shared" si="2"/>
        <v>1</v>
      </c>
      <c r="I14" s="2">
        <f t="shared" si="0"/>
        <v>1</v>
      </c>
      <c r="J14" s="4" t="s">
        <v>30</v>
      </c>
      <c r="K14" s="4" t="s">
        <v>30</v>
      </c>
      <c r="L14" s="4" t="s">
        <v>30</v>
      </c>
      <c r="M14" s="4" t="s">
        <v>30</v>
      </c>
      <c r="N14" s="4" t="s">
        <v>30</v>
      </c>
      <c r="O14" s="4" t="s">
        <v>30</v>
      </c>
    </row>
  </sheetData>
  <mergeCells count="2">
    <mergeCell ref="A3:A4"/>
    <mergeCell ref="A5:A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2026-03-02T03:28:05Z</dcterms:modified>
</cp:coreProperties>
</file>